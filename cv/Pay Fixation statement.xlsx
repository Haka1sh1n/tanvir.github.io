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CD56D311-00BD-4A09-86F3-7D75F77648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 Fixation" sheetId="17" r:id="rId1"/>
    <sheet name="Sept salary" sheetId="18" r:id="rId2"/>
    <sheet name="Arrear+Adjust" sheetId="19" r:id="rId3"/>
  </sheets>
  <definedNames>
    <definedName name="_xlnm.Print_Area" localSheetId="0">'Pay Fixation'!$B$2:$J$46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9" l="1"/>
  <c r="E22" i="19" s="1"/>
  <c r="D19" i="19"/>
  <c r="D18" i="19"/>
  <c r="D10" i="19"/>
  <c r="J24" i="17"/>
  <c r="E19" i="19"/>
  <c r="E11" i="18"/>
  <c r="J17" i="17"/>
  <c r="J21" i="17" s="1"/>
  <c r="E15" i="19"/>
  <c r="J25" i="17" l="1"/>
  <c r="J26" i="17" s="1"/>
  <c r="D10" i="18" l="1"/>
  <c r="E18" i="19"/>
  <c r="E30" i="19" s="1"/>
  <c r="D16" i="19" l="1"/>
  <c r="E10" i="19"/>
  <c r="E16" i="19" s="1"/>
  <c r="E31" i="19" s="1"/>
  <c r="E10" i="18"/>
  <c r="E17" i="18" s="1"/>
  <c r="D19" i="18"/>
  <c r="E19" i="18" s="1"/>
  <c r="E32" i="18" s="1"/>
  <c r="E33" i="18" l="1"/>
</calcChain>
</file>

<file path=xl/sharedStrings.xml><?xml version="1.0" encoding="utf-8"?>
<sst xmlns="http://schemas.openxmlformats.org/spreadsheetml/2006/main" count="170" uniqueCount="89">
  <si>
    <t>প্লট# ই-৫/এ, আগারগাঁও প্রশাসনিক এলাকা, শের-ই-বাংলা নগর, ঢাকা-১২০৭</t>
  </si>
  <si>
    <t>Gm.Avi.I bs-t 348-AvBb/2026, ZvwiLt 17 †m‡Þ¤^i, 2026</t>
  </si>
  <si>
    <t>RvZxq †eZb‡¯‹j 2026 Abyhvqx 01 RyjvB, 2026 Zvwi‡L †eZb wba©viY weeiYx</t>
  </si>
  <si>
    <t>Kg©Pvixi bvg I c`ex</t>
  </si>
  <si>
    <t>t</t>
  </si>
  <si>
    <t>Rb¥ ZvwiL</t>
  </si>
  <si>
    <t>K) PvKzix‡Z cÖ_g †hvM`v‡bi ZvwiL</t>
  </si>
  <si>
    <t>L) cÖ_g †hvM`v‡bi Zvwi‡L c`ex</t>
  </si>
  <si>
    <t>RvZxq †eZb †¯‹j 2015 Abyhvqx 30 Ryb, 2026 Zvwi‡L-</t>
  </si>
  <si>
    <t>K) †MÖW</t>
  </si>
  <si>
    <t>L) cÖvß †eZb</t>
  </si>
  <si>
    <t>UvKv</t>
  </si>
  <si>
    <t>M) cÖvß †MÖ‡Wi cÖviw¤¢K †eZb</t>
  </si>
  <si>
    <t>RvZxq †eZb †¯‹j 2026 Abyhvqx 01 RyjvB 2026 Zvwi‡L-</t>
  </si>
  <si>
    <t>K) cÖvß †MÖW</t>
  </si>
  <si>
    <t>L) cÖvß †MÖ‡Wi cÖviw¤¢K †eZb</t>
  </si>
  <si>
    <t>RvZxq †eZb‡¯‹j 2026 Abyhvqx 01 RyjvB 2026 Zvwi‡L cÖvc¨ avc/wba©vwiZ †eZb</t>
  </si>
  <si>
    <t>01 RyjvB, 2026 Zvwi‡L cÖvc¨ Bbwµ‡g›Umn †eZb (wba©vwiZ †eZ‡bi cieZx© avc)</t>
  </si>
  <si>
    <t>-------------------------------------------------------------------------------------------------------------</t>
  </si>
  <si>
    <t>¯^vÿi</t>
  </si>
  <si>
    <t>Avqb I e¨qb Kg©KZ©vi ¯^vÿi</t>
  </si>
  <si>
    <t>------------------------------------------------------------------------------------------------------------------------</t>
  </si>
  <si>
    <t>A_©, wnmve I ivR¯^ wefv‡Mi Rb¨</t>
  </si>
  <si>
    <t>¯§viK bs-------------------</t>
  </si>
  <si>
    <t>ZvwiLt--------------------</t>
  </si>
  <si>
    <t>Rbve------------------------------------------, c`ext--------------------------------, Gi ‡eZb wba©viYx weeiYxwU cixÿv Kiv n‡jv|</t>
  </si>
  <si>
    <t>Dc-mnKvix cwiPvjK</t>
  </si>
  <si>
    <t>Dc-cwiPvjK</t>
  </si>
  <si>
    <t>RvZxq †eZb †¯‹j 2026 Abyhvqx 01 RyjvB 2026 Zvwi‡L cÖvc¨ †eZb (6L+12)</t>
  </si>
  <si>
    <t>evsjv‡`k †Uwj‡hvMv‡hvM ‡i¸‡jUwi Kwgkb</t>
  </si>
  <si>
    <t>evsjv‡`k †Uwj‡hvMv‡hvM wbqš¿Y Kwgkb</t>
  </si>
  <si>
    <t xml:space="preserve">প্লট-ই৫/এ, আগারগাঁও প্রশাসনিক এলাকা, শের-এ-বাংলা নগর, ঢাকা-১২০৭। </t>
  </si>
  <si>
    <t>‡eZb wej</t>
  </si>
  <si>
    <t>Kg©KZ©vi bvg</t>
  </si>
  <si>
    <r>
      <t xml:space="preserve">c`ex </t>
    </r>
    <r>
      <rPr>
        <sz val="12"/>
        <color theme="1"/>
        <rFont val="Nikosh"/>
      </rPr>
      <t>ও বিভাগ</t>
    </r>
    <r>
      <rPr>
        <sz val="12"/>
        <color theme="1"/>
        <rFont val="SutonnyMJ"/>
      </rPr>
      <t xml:space="preserve"> t</t>
    </r>
  </si>
  <si>
    <t>gvmt</t>
  </si>
  <si>
    <t xml:space="preserve">সেপ্টেম্বর, ২০২৬। </t>
  </si>
  <si>
    <t>µwgK bst</t>
  </si>
  <si>
    <t>wnmve †KvW</t>
  </si>
  <si>
    <t>weeiY</t>
  </si>
  <si>
    <t>gšÍe¨</t>
  </si>
  <si>
    <t>nvi</t>
  </si>
  <si>
    <t>cwigvY</t>
  </si>
  <si>
    <t>‡eZb I fvZvi weeiY</t>
  </si>
  <si>
    <t xml:space="preserve">g~j †eZb </t>
  </si>
  <si>
    <t>evwo fvov fvZv</t>
  </si>
  <si>
    <t>wPwKrmv fvZv</t>
  </si>
  <si>
    <t>‡i¸‡jUix fvZv</t>
  </si>
  <si>
    <t>Ñ</t>
  </si>
  <si>
    <t>Drme fvZv</t>
  </si>
  <si>
    <t>wkÿv mnvqK fvZv</t>
  </si>
  <si>
    <t>(K) me©‡gvU †eZb I fvZv</t>
  </si>
  <si>
    <t>KZ©b I cwi‡kva</t>
  </si>
  <si>
    <r>
      <rPr>
        <sz val="12"/>
        <color theme="1"/>
        <rFont val="Nikosh"/>
      </rPr>
      <t>সিপিএফ</t>
    </r>
    <r>
      <rPr>
        <sz val="12"/>
        <color theme="1"/>
        <rFont val="SutonnyMJ"/>
      </rPr>
      <t xml:space="preserve"> (g~j †eZ‡bi </t>
    </r>
    <r>
      <rPr>
        <sz val="12"/>
        <color theme="1"/>
        <rFont val="Nikosh"/>
      </rPr>
      <t>১০</t>
    </r>
    <r>
      <rPr>
        <sz val="12"/>
        <color theme="1"/>
        <rFont val="SutonnyMJ"/>
      </rPr>
      <t>%)</t>
    </r>
  </si>
  <si>
    <t>miKvix Kg©Pvix Kj¨vY Znwej</t>
  </si>
  <si>
    <t>miKvix Kg©Pvix †hŠ_ exgv Znwej</t>
  </si>
  <si>
    <t>fwel¨r Znwe‡ji AwMÖg I Av`vq</t>
  </si>
  <si>
    <t>WvK Rxeb exgv wcÖwgqvg</t>
  </si>
  <si>
    <t>evwo fvov eve` KZ©b</t>
  </si>
  <si>
    <t>Kw¤úDUvi FY/AwMÖ‡gi wKw¯Í</t>
  </si>
  <si>
    <t>M„n wbg©vY F‡Yi wKw¯Í</t>
  </si>
  <si>
    <t>mve©ÿwbK miKvix Mvox e¨envi eve` KZ©b</t>
  </si>
  <si>
    <t>cÖ`Ë †i¸‡jUix fvZv eve` KZ©Y (20%)</t>
  </si>
  <si>
    <t xml:space="preserve">রাজস্ব টিকেট বাবদ কর্তন </t>
  </si>
  <si>
    <r>
      <t xml:space="preserve">Dr‡m AvqKi </t>
    </r>
    <r>
      <rPr>
        <sz val="12"/>
        <color theme="1"/>
        <rFont val="Nikosh"/>
      </rPr>
      <t xml:space="preserve">কর্তন </t>
    </r>
  </si>
  <si>
    <t>wewea mgš^q</t>
  </si>
  <si>
    <t>(L)  me©‡gvU KZ©b I cwi‡kva</t>
  </si>
  <si>
    <t>bxU †eZb (K-L)</t>
  </si>
  <si>
    <t>gnvN© fvZv (g~j †eZ‡bi 10%)</t>
  </si>
  <si>
    <t>cv_©K¨ (5L-5M)</t>
  </si>
  <si>
    <t>RvZxq †eZb †¯‹j 2026 Abyhvqx ‡eZb (6+7L)</t>
  </si>
  <si>
    <t>মূল বেতন বকেয়া (জুলাই ও আগস্ট) (৩৩২৯০-২৪৮৭০)</t>
  </si>
  <si>
    <t>উপ সহকারী পরিচালক, অর্থ, হিসাব ও রাজস্ব বিভাগ।</t>
  </si>
  <si>
    <t>সেপ্টেম্বর, ২০২৬</t>
  </si>
  <si>
    <t>wba©vwiZ †eZb I eZ©gvb †eZ‡bi cv_©K¨ (10-5L)</t>
  </si>
  <si>
    <r>
      <rPr>
        <sz val="12"/>
        <color theme="1"/>
        <rFont val="Nikosh"/>
      </rPr>
      <t>বিশেষ সুবিধা</t>
    </r>
    <r>
      <rPr>
        <sz val="12"/>
        <color theme="1"/>
        <rFont val="SutonnyMJ"/>
      </rPr>
      <t xml:space="preserve"> (g~j †eZ‡bi </t>
    </r>
    <r>
      <rPr>
        <sz val="12"/>
        <color theme="1"/>
        <rFont val="Nikosh"/>
      </rPr>
      <t>১৫</t>
    </r>
    <r>
      <rPr>
        <sz val="12"/>
        <color theme="1"/>
        <rFont val="SutonnyMJ"/>
      </rPr>
      <t>%)</t>
    </r>
  </si>
  <si>
    <t>cÖ`Ë †i¸‡jUix fvZv eve` KZ©Y</t>
  </si>
  <si>
    <t xml:space="preserve">কথায়ঃ পঞ্চান্ন হাজার তিন শত একাশি টাকা মাত্র। </t>
  </si>
  <si>
    <r>
      <rPr>
        <u/>
        <sz val="14"/>
        <color theme="1"/>
        <rFont val="Nikosh"/>
      </rPr>
      <t>বকেয়া</t>
    </r>
    <r>
      <rPr>
        <u/>
        <sz val="14"/>
        <color theme="1"/>
        <rFont val="SutonnyMJ"/>
      </rPr>
      <t xml:space="preserve"> ‡eZb wej</t>
    </r>
  </si>
  <si>
    <r>
      <t xml:space="preserve">evwo fvov eve` KZ©b </t>
    </r>
    <r>
      <rPr>
        <sz val="12"/>
        <color theme="1"/>
        <rFont val="Nikosh"/>
      </rPr>
      <t>(২৪৮৭০-২৩৬৮০)</t>
    </r>
  </si>
  <si>
    <r>
      <rPr>
        <sz val="12"/>
        <color theme="1"/>
        <rFont val="Nikosh"/>
      </rPr>
      <t>সিপিএফ</t>
    </r>
    <r>
      <rPr>
        <sz val="12"/>
        <color theme="1"/>
        <rFont val="SutonnyMJ"/>
      </rPr>
      <t xml:space="preserve"> (g~j †eZ‡bi </t>
    </r>
    <r>
      <rPr>
        <sz val="12"/>
        <color theme="1"/>
        <rFont val="Nikosh"/>
      </rPr>
      <t>১০</t>
    </r>
    <r>
      <rPr>
        <sz val="12"/>
        <color theme="1"/>
        <rFont val="SutonnyMJ"/>
      </rPr>
      <t xml:space="preserve">%) </t>
    </r>
    <r>
      <rPr>
        <sz val="12"/>
        <color theme="1"/>
        <rFont val="Nikosh"/>
      </rPr>
      <t>(৩৩২৯০-২৪৮৭০)*১০%</t>
    </r>
  </si>
  <si>
    <t>বিশেষ ভাতা (১৫%) (২৪৮৭০*১৫%)</t>
  </si>
  <si>
    <r>
      <rPr>
        <sz val="12"/>
        <rFont val="Nikosh"/>
      </rPr>
      <t>জাতীয় পরিচয়পত্রের নম্বর</t>
    </r>
    <r>
      <rPr>
        <sz val="12"/>
        <rFont val="Times New Roman"/>
        <family val="1"/>
      </rPr>
      <t xml:space="preserve"> (NID)</t>
    </r>
  </si>
  <si>
    <t xml:space="preserve">Bbwµ‡g›Umn g~j †eZb----------------------------------------------UvKvq wba©iY Kiv n‡jv|  </t>
  </si>
  <si>
    <t>RvZxq †eZb †¯‹j 2026 Abyhvqx 01 RyjvB 2026 Zvwi‡L ---------------------------------------------------------------‡¯‹‡j evwl©K</t>
  </si>
  <si>
    <t xml:space="preserve">    wmwb: mn: cwiPvjK</t>
  </si>
  <si>
    <t xml:space="preserve">     cwiPvjK</t>
  </si>
  <si>
    <r>
      <t xml:space="preserve">cv_©‡K¨i 40% </t>
    </r>
    <r>
      <rPr>
        <sz val="12"/>
        <rFont val="Nikosh"/>
      </rPr>
      <t>বা</t>
    </r>
    <r>
      <rPr>
        <sz val="12"/>
        <rFont val="SutonnyMJ"/>
      </rPr>
      <t xml:space="preserve"> 50% (11 Gi 50%)</t>
    </r>
  </si>
  <si>
    <t xml:space="preserve">কথায়ঃ পাঁচ হাজার তিন শত পাঁচ টাকা মাত্র।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</si>
</sst>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5000445]0"/>
    <numFmt numFmtId="166" formatCode="[$-5000000]mm/dd/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0"/>
      <name val="SutonnyMJ"/>
    </font>
    <font>
      <sz val="12"/>
      <name val="Nikosh"/>
    </font>
    <font>
      <sz val="12"/>
      <name val="SutonnyMJ"/>
    </font>
    <font>
      <u/>
      <sz val="12"/>
      <name val="SutonnyMJ"/>
    </font>
    <font>
      <sz val="11.5"/>
      <name val="SutonnyMJ"/>
    </font>
    <font>
      <b/>
      <sz val="14"/>
      <color theme="1"/>
      <name val="SutonnyMJ"/>
    </font>
    <font>
      <sz val="12"/>
      <color theme="1"/>
      <name val="Nikosh"/>
    </font>
    <font>
      <u/>
      <sz val="14"/>
      <color theme="1"/>
      <name val="SutonnyMJ"/>
    </font>
    <font>
      <sz val="12"/>
      <color theme="1"/>
      <name val="SutonnyMJ"/>
    </font>
    <font>
      <u val="singleAccounting"/>
      <sz val="12"/>
      <color theme="1"/>
      <name val="SutonnyMJ"/>
    </font>
    <font>
      <sz val="11"/>
      <color theme="1"/>
      <name val="Nikosh"/>
    </font>
    <font>
      <u/>
      <sz val="14"/>
      <color theme="1"/>
      <name val="Nikosh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6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43" fontId="5" fillId="0" borderId="0" xfId="1" applyFont="1" applyFill="1"/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43" fontId="5" fillId="2" borderId="0" xfId="1" applyFont="1" applyFill="1"/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43" fontId="11" fillId="0" borderId="0" xfId="1" applyFont="1" applyAlignment="1">
      <alignment vertical="top"/>
    </xf>
    <xf numFmtId="0" fontId="9" fillId="0" borderId="0" xfId="0" applyFont="1" applyAlignment="1">
      <alignment vertical="top"/>
    </xf>
    <xf numFmtId="43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  <xf numFmtId="164" fontId="11" fillId="0" borderId="1" xfId="1" applyNumberFormat="1" applyFont="1" applyBorder="1" applyAlignment="1">
      <alignment vertical="top"/>
    </xf>
    <xf numFmtId="0" fontId="11" fillId="0" borderId="1" xfId="0" applyFont="1" applyBorder="1" applyAlignment="1">
      <alignment vertical="top"/>
    </xf>
    <xf numFmtId="43" fontId="11" fillId="0" borderId="1" xfId="1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43" fontId="11" fillId="0" borderId="1" xfId="1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164" fontId="12" fillId="0" borderId="1" xfId="1" applyNumberFormat="1" applyFont="1" applyBorder="1" applyAlignment="1">
      <alignment horizontal="center" vertical="top"/>
    </xf>
    <xf numFmtId="164" fontId="12" fillId="0" borderId="1" xfId="1" applyNumberFormat="1" applyFont="1" applyBorder="1" applyAlignment="1">
      <alignment vertical="top"/>
    </xf>
    <xf numFmtId="165" fontId="0" fillId="0" borderId="0" xfId="0" applyNumberFormat="1"/>
    <xf numFmtId="166" fontId="0" fillId="0" borderId="0" xfId="0" applyNumberFormat="1"/>
    <xf numFmtId="43" fontId="5" fillId="3" borderId="0" xfId="1" applyFont="1" applyFill="1" applyAlignment="1">
      <alignment horizontal="center" vertical="center"/>
    </xf>
    <xf numFmtId="43" fontId="5" fillId="3" borderId="0" xfId="1" applyFont="1" applyFill="1"/>
    <xf numFmtId="43" fontId="0" fillId="0" borderId="0" xfId="0" applyNumberFormat="1"/>
    <xf numFmtId="0" fontId="13" fillId="0" borderId="0" xfId="0" applyFont="1"/>
    <xf numFmtId="43" fontId="11" fillId="0" borderId="1" xfId="1" applyFont="1" applyBorder="1" applyAlignment="1">
      <alignment horizontal="right" vertical="top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5" fillId="0" borderId="0" xfId="0" applyFont="1" applyAlignme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A741-DBBD-41BB-8A7B-538190D822F2}">
  <sheetPr>
    <pageSetUpPr fitToPage="1"/>
  </sheetPr>
  <dimension ref="B2:M48"/>
  <sheetViews>
    <sheetView tabSelected="1" view="pageBreakPreview" topLeftCell="A2" zoomScale="60" zoomScaleNormal="91" workbookViewId="0">
      <selection activeCell="B2" sqref="B2:J46"/>
    </sheetView>
  </sheetViews>
  <sheetFormatPr defaultRowHeight="14.5" x14ac:dyDescent="0.35"/>
  <cols>
    <col min="1" max="1" width="12.08984375" customWidth="1"/>
    <col min="2" max="2" width="6.6328125" customWidth="1"/>
    <col min="7" max="7" width="24.90625" customWidth="1"/>
    <col min="10" max="10" width="11.6328125" customWidth="1"/>
    <col min="11" max="11" width="12.36328125" customWidth="1"/>
    <col min="12" max="12" width="12.90625" bestFit="1" customWidth="1"/>
    <col min="26" max="26" width="8.7265625" customWidth="1"/>
  </cols>
  <sheetData>
    <row r="2" spans="2:13" ht="27" x14ac:dyDescent="0.35">
      <c r="B2" s="42" t="s">
        <v>29</v>
      </c>
      <c r="C2" s="42"/>
      <c r="D2" s="42"/>
      <c r="E2" s="42"/>
      <c r="F2" s="42"/>
      <c r="G2" s="42"/>
      <c r="H2" s="42"/>
      <c r="I2" s="42"/>
      <c r="J2" s="42"/>
    </row>
    <row r="3" spans="2:13" ht="16.5" x14ac:dyDescent="0.35">
      <c r="B3" s="55" t="s">
        <v>0</v>
      </c>
      <c r="C3" s="55"/>
      <c r="D3" s="55"/>
      <c r="E3" s="55"/>
      <c r="F3" s="55"/>
      <c r="G3" s="55"/>
      <c r="H3" s="55"/>
      <c r="I3" s="55"/>
      <c r="J3" s="55"/>
    </row>
    <row r="4" spans="2:13" ht="16.5" x14ac:dyDescent="0.45">
      <c r="B4" s="1"/>
      <c r="C4" s="2"/>
      <c r="D4" s="2"/>
      <c r="E4" s="2"/>
      <c r="F4" s="2"/>
      <c r="G4" s="2"/>
      <c r="H4" s="2"/>
      <c r="I4" s="1"/>
      <c r="J4" s="2"/>
    </row>
    <row r="5" spans="2:13" ht="16.5" x14ac:dyDescent="0.35">
      <c r="B5" s="43" t="s">
        <v>1</v>
      </c>
      <c r="C5" s="43"/>
      <c r="D5" s="43"/>
      <c r="E5" s="43"/>
      <c r="F5" s="43"/>
      <c r="G5" s="43"/>
      <c r="H5" s="43"/>
      <c r="I5" s="43"/>
      <c r="J5" s="43"/>
    </row>
    <row r="6" spans="2:13" ht="16.5" x14ac:dyDescent="0.35">
      <c r="B6" s="43" t="s">
        <v>2</v>
      </c>
      <c r="C6" s="43"/>
      <c r="D6" s="43"/>
      <c r="E6" s="43"/>
      <c r="F6" s="43"/>
      <c r="G6" s="43"/>
      <c r="H6" s="43"/>
      <c r="I6" s="43"/>
      <c r="J6" s="43"/>
    </row>
    <row r="7" spans="2:13" ht="16.5" x14ac:dyDescent="0.45">
      <c r="B7" s="1"/>
      <c r="C7" s="2"/>
      <c r="D7" s="2"/>
      <c r="E7" s="2"/>
      <c r="F7" s="2"/>
      <c r="G7" s="2"/>
      <c r="H7" s="2"/>
      <c r="I7" s="1"/>
    </row>
    <row r="8" spans="2:13" ht="16.5" x14ac:dyDescent="0.45">
      <c r="B8" s="1">
        <v>1</v>
      </c>
      <c r="C8" s="52" t="s">
        <v>82</v>
      </c>
      <c r="D8" s="52"/>
      <c r="E8" s="52"/>
      <c r="F8" s="52"/>
      <c r="G8" s="52"/>
      <c r="H8" s="1" t="s">
        <v>4</v>
      </c>
      <c r="I8" s="1"/>
    </row>
    <row r="9" spans="2:13" ht="16.5" x14ac:dyDescent="0.45">
      <c r="B9" s="1">
        <v>2</v>
      </c>
      <c r="C9" s="38" t="s">
        <v>3</v>
      </c>
      <c r="D9" s="38"/>
      <c r="E9" s="38"/>
      <c r="F9" s="38"/>
      <c r="G9" s="38"/>
      <c r="H9" s="1" t="s">
        <v>4</v>
      </c>
      <c r="I9" s="1"/>
      <c r="J9" s="2"/>
    </row>
    <row r="10" spans="2:13" ht="16.5" x14ac:dyDescent="0.45">
      <c r="B10" s="1">
        <v>3</v>
      </c>
      <c r="C10" s="38" t="s">
        <v>5</v>
      </c>
      <c r="D10" s="38"/>
      <c r="E10" s="38"/>
      <c r="F10" s="38"/>
      <c r="G10" s="38"/>
      <c r="H10" s="1" t="s">
        <v>4</v>
      </c>
      <c r="I10" s="1"/>
      <c r="J10" s="2"/>
      <c r="M10" s="27"/>
    </row>
    <row r="11" spans="2:13" ht="16.5" x14ac:dyDescent="0.45">
      <c r="B11" s="1">
        <v>4</v>
      </c>
      <c r="C11" s="38" t="s">
        <v>6</v>
      </c>
      <c r="D11" s="38"/>
      <c r="E11" s="38"/>
      <c r="F11" s="38"/>
      <c r="G11" s="38"/>
      <c r="H11" s="1" t="s">
        <v>4</v>
      </c>
      <c r="I11" s="1"/>
      <c r="J11" s="2"/>
      <c r="L11" s="28"/>
      <c r="M11" s="27"/>
    </row>
    <row r="12" spans="2:13" ht="16.5" x14ac:dyDescent="0.45">
      <c r="B12" s="1"/>
      <c r="C12" s="38" t="s">
        <v>7</v>
      </c>
      <c r="D12" s="38"/>
      <c r="E12" s="38"/>
      <c r="F12" s="38"/>
      <c r="G12" s="38"/>
      <c r="H12" s="1" t="s">
        <v>4</v>
      </c>
      <c r="I12" s="1"/>
      <c r="J12" s="2"/>
    </row>
    <row r="13" spans="2:13" ht="16.5" x14ac:dyDescent="0.45">
      <c r="B13" s="1">
        <v>5</v>
      </c>
      <c r="C13" s="38" t="s">
        <v>8</v>
      </c>
      <c r="D13" s="38"/>
      <c r="E13" s="38"/>
      <c r="F13" s="38"/>
      <c r="G13" s="38"/>
      <c r="H13" s="1" t="s">
        <v>4</v>
      </c>
      <c r="I13" s="1"/>
      <c r="J13" s="2"/>
    </row>
    <row r="14" spans="2:13" ht="16.5" x14ac:dyDescent="0.45">
      <c r="B14" s="1">
        <v>6</v>
      </c>
      <c r="C14" s="37" t="s">
        <v>9</v>
      </c>
      <c r="D14" s="37"/>
      <c r="E14" s="37"/>
      <c r="F14" s="37"/>
      <c r="G14" s="37"/>
      <c r="H14" s="1"/>
      <c r="I14" s="1"/>
      <c r="J14" s="3">
        <v>10</v>
      </c>
    </row>
    <row r="15" spans="2:13" ht="16.5" x14ac:dyDescent="0.45">
      <c r="B15" s="1"/>
      <c r="C15" s="38" t="s">
        <v>10</v>
      </c>
      <c r="D15" s="38"/>
      <c r="E15" s="38"/>
      <c r="F15" s="38"/>
      <c r="G15" s="38"/>
      <c r="H15" s="1" t="s">
        <v>4</v>
      </c>
      <c r="I15" s="1" t="s">
        <v>11</v>
      </c>
      <c r="J15" s="29">
        <v>23680</v>
      </c>
    </row>
    <row r="16" spans="2:13" ht="16.5" x14ac:dyDescent="0.45">
      <c r="B16" s="1"/>
      <c r="C16" s="38" t="s">
        <v>12</v>
      </c>
      <c r="D16" s="38"/>
      <c r="E16" s="38"/>
      <c r="F16" s="38"/>
      <c r="G16" s="38"/>
      <c r="H16" s="1" t="s">
        <v>4</v>
      </c>
      <c r="I16" s="1" t="s">
        <v>11</v>
      </c>
      <c r="J16" s="30">
        <v>16000</v>
      </c>
    </row>
    <row r="17" spans="2:12" ht="16.5" x14ac:dyDescent="0.45">
      <c r="B17" s="1">
        <v>7</v>
      </c>
      <c r="C17" s="38" t="s">
        <v>69</v>
      </c>
      <c r="D17" s="38"/>
      <c r="E17" s="38"/>
      <c r="F17" s="38"/>
      <c r="G17" s="38"/>
      <c r="H17" s="1" t="s">
        <v>4</v>
      </c>
      <c r="I17" s="1" t="s">
        <v>11</v>
      </c>
      <c r="J17" s="4">
        <f>J15-J16</f>
        <v>7680</v>
      </c>
    </row>
    <row r="18" spans="2:12" ht="16.5" x14ac:dyDescent="0.45">
      <c r="B18" s="1">
        <v>8</v>
      </c>
      <c r="C18" s="38" t="s">
        <v>13</v>
      </c>
      <c r="D18" s="38"/>
      <c r="E18" s="38"/>
      <c r="F18" s="38"/>
      <c r="G18" s="38"/>
      <c r="H18" s="1"/>
      <c r="I18" s="1"/>
      <c r="J18" s="4"/>
    </row>
    <row r="19" spans="2:12" ht="16.5" x14ac:dyDescent="0.45">
      <c r="B19" s="1"/>
      <c r="C19" s="38" t="s">
        <v>14</v>
      </c>
      <c r="D19" s="38"/>
      <c r="E19" s="38"/>
      <c r="F19" s="38"/>
      <c r="G19" s="38"/>
      <c r="H19" s="1" t="s">
        <v>4</v>
      </c>
      <c r="I19" s="3"/>
      <c r="J19" s="3">
        <v>10</v>
      </c>
    </row>
    <row r="20" spans="2:12" ht="16.5" x14ac:dyDescent="0.45">
      <c r="B20" s="1"/>
      <c r="C20" s="38" t="s">
        <v>15</v>
      </c>
      <c r="D20" s="38"/>
      <c r="E20" s="38"/>
      <c r="F20" s="38"/>
      <c r="G20" s="38"/>
      <c r="H20" s="1" t="s">
        <v>4</v>
      </c>
      <c r="I20" s="1" t="s">
        <v>11</v>
      </c>
      <c r="J20" s="30">
        <v>32000</v>
      </c>
    </row>
    <row r="21" spans="2:12" ht="16.5" x14ac:dyDescent="0.45">
      <c r="B21" s="9">
        <v>9</v>
      </c>
      <c r="C21" s="40" t="s">
        <v>70</v>
      </c>
      <c r="D21" s="40"/>
      <c r="E21" s="40"/>
      <c r="F21" s="40"/>
      <c r="G21" s="40"/>
      <c r="H21" s="9" t="s">
        <v>4</v>
      </c>
      <c r="I21" s="9" t="s">
        <v>11</v>
      </c>
      <c r="J21" s="10">
        <f>J20+J17</f>
        <v>39680</v>
      </c>
    </row>
    <row r="22" spans="2:12" ht="16.5" x14ac:dyDescent="0.45">
      <c r="B22" s="9">
        <v>10</v>
      </c>
      <c r="C22" s="40" t="s">
        <v>16</v>
      </c>
      <c r="D22" s="40"/>
      <c r="E22" s="40"/>
      <c r="F22" s="40"/>
      <c r="G22" s="40"/>
      <c r="H22" s="9" t="s">
        <v>4</v>
      </c>
      <c r="I22" s="9" t="s">
        <v>11</v>
      </c>
      <c r="J22" s="30">
        <v>40900</v>
      </c>
    </row>
    <row r="23" spans="2:12" ht="16.5" x14ac:dyDescent="0.45">
      <c r="B23" s="9">
        <v>11</v>
      </c>
      <c r="C23" s="40" t="s">
        <v>17</v>
      </c>
      <c r="D23" s="40"/>
      <c r="E23" s="40"/>
      <c r="F23" s="40"/>
      <c r="G23" s="40"/>
      <c r="H23" s="9" t="s">
        <v>4</v>
      </c>
      <c r="I23" s="9" t="s">
        <v>11</v>
      </c>
      <c r="J23" s="30">
        <v>42900</v>
      </c>
    </row>
    <row r="24" spans="2:12" ht="16.5" x14ac:dyDescent="0.45">
      <c r="B24" s="9">
        <v>12</v>
      </c>
      <c r="C24" s="40" t="s">
        <v>74</v>
      </c>
      <c r="D24" s="40"/>
      <c r="E24" s="40"/>
      <c r="F24" s="40"/>
      <c r="G24" s="40"/>
      <c r="H24" s="9" t="s">
        <v>4</v>
      </c>
      <c r="I24" s="9" t="s">
        <v>11</v>
      </c>
      <c r="J24" s="10">
        <f>J23-J15</f>
        <v>19220</v>
      </c>
    </row>
    <row r="25" spans="2:12" ht="16.5" x14ac:dyDescent="0.45">
      <c r="B25" s="9">
        <v>13</v>
      </c>
      <c r="C25" s="41" t="s">
        <v>87</v>
      </c>
      <c r="D25" s="41"/>
      <c r="E25" s="41"/>
      <c r="F25" s="41"/>
      <c r="G25" s="41"/>
      <c r="H25" s="9" t="s">
        <v>4</v>
      </c>
      <c r="I25" s="9" t="s">
        <v>11</v>
      </c>
      <c r="J25" s="10">
        <f>J24*50%</f>
        <v>9610</v>
      </c>
      <c r="K25" s="31"/>
      <c r="L25" s="31"/>
    </row>
    <row r="26" spans="2:12" ht="16.5" x14ac:dyDescent="0.45">
      <c r="B26" s="9">
        <v>14</v>
      </c>
      <c r="C26" s="40" t="s">
        <v>28</v>
      </c>
      <c r="D26" s="40"/>
      <c r="E26" s="40"/>
      <c r="F26" s="40"/>
      <c r="G26" s="40"/>
      <c r="H26" s="9" t="s">
        <v>4</v>
      </c>
      <c r="I26" s="9" t="s">
        <v>11</v>
      </c>
      <c r="J26" s="10">
        <f>J15+J25</f>
        <v>33290</v>
      </c>
      <c r="K26" s="31"/>
      <c r="L26" s="31"/>
    </row>
    <row r="27" spans="2:12" x14ac:dyDescent="0.35">
      <c r="I27" s="7"/>
    </row>
    <row r="28" spans="2:12" ht="16.5" x14ac:dyDescent="0.45">
      <c r="B28" s="34" t="s">
        <v>18</v>
      </c>
      <c r="C28" s="35"/>
      <c r="D28" s="35"/>
      <c r="E28" s="35"/>
      <c r="F28" s="35"/>
      <c r="G28" s="35"/>
      <c r="H28" s="35"/>
      <c r="I28" s="35"/>
      <c r="J28" s="35"/>
    </row>
    <row r="29" spans="2:12" ht="16.5" x14ac:dyDescent="0.45">
      <c r="B29" s="1"/>
      <c r="C29" s="2"/>
      <c r="D29" s="2"/>
      <c r="E29" s="2"/>
      <c r="F29" s="2"/>
      <c r="G29" s="2"/>
      <c r="H29" s="2"/>
      <c r="I29" s="1"/>
      <c r="J29" s="8"/>
      <c r="K29" s="32"/>
      <c r="L29" s="32"/>
    </row>
    <row r="30" spans="2:12" ht="16.5" x14ac:dyDescent="0.45">
      <c r="B30" s="1"/>
      <c r="C30" s="2"/>
      <c r="D30" s="2"/>
      <c r="E30" s="2"/>
      <c r="F30" s="2"/>
      <c r="G30" s="2"/>
      <c r="H30" s="2"/>
      <c r="I30" s="1"/>
      <c r="J30" s="8"/>
      <c r="K30" s="32"/>
      <c r="L30" s="32"/>
    </row>
    <row r="31" spans="2:12" ht="16.5" x14ac:dyDescent="0.45">
      <c r="B31" s="1"/>
      <c r="C31" s="2"/>
      <c r="D31" s="2"/>
      <c r="E31" s="2"/>
      <c r="F31" s="2"/>
      <c r="G31" s="2"/>
      <c r="H31" s="2"/>
      <c r="I31" s="1"/>
      <c r="J31" s="2"/>
    </row>
    <row r="32" spans="2:12" ht="16.5" x14ac:dyDescent="0.45">
      <c r="B32" s="1"/>
      <c r="C32" s="35" t="s">
        <v>19</v>
      </c>
      <c r="D32" s="35"/>
      <c r="E32" s="35"/>
      <c r="F32" s="2"/>
      <c r="G32" s="2"/>
      <c r="H32" s="2" t="s">
        <v>20</v>
      </c>
      <c r="I32" s="1"/>
      <c r="J32" s="2"/>
    </row>
    <row r="33" spans="2:10" ht="16.5" x14ac:dyDescent="0.45">
      <c r="B33" s="1"/>
      <c r="C33" s="2"/>
      <c r="D33" s="2"/>
      <c r="E33" s="2"/>
      <c r="F33" s="2"/>
      <c r="G33" s="2"/>
      <c r="H33" s="2"/>
      <c r="I33" s="1"/>
      <c r="J33" s="2"/>
    </row>
    <row r="34" spans="2:10" ht="16.5" x14ac:dyDescent="0.45">
      <c r="B34" s="34" t="s">
        <v>21</v>
      </c>
      <c r="C34" s="35"/>
      <c r="D34" s="35"/>
      <c r="E34" s="35"/>
      <c r="F34" s="35"/>
      <c r="G34" s="35"/>
      <c r="H34" s="35"/>
      <c r="I34" s="35"/>
      <c r="J34" s="35"/>
    </row>
    <row r="35" spans="2:10" ht="16.5" x14ac:dyDescent="0.45">
      <c r="B35" s="36" t="s">
        <v>22</v>
      </c>
      <c r="C35" s="36"/>
      <c r="D35" s="36"/>
      <c r="E35" s="36"/>
      <c r="F35" s="36"/>
      <c r="G35" s="36"/>
      <c r="H35" s="36"/>
      <c r="I35" s="36"/>
      <c r="J35" s="36"/>
    </row>
    <row r="36" spans="2:10" ht="16.5" x14ac:dyDescent="0.45">
      <c r="B36" s="1"/>
      <c r="C36" s="2"/>
      <c r="D36" s="2"/>
      <c r="E36" s="2"/>
      <c r="F36" s="2"/>
      <c r="G36" s="2"/>
      <c r="H36" s="2"/>
      <c r="I36" s="1"/>
      <c r="J36" s="2"/>
    </row>
    <row r="37" spans="2:10" ht="16.5" x14ac:dyDescent="0.45">
      <c r="B37" s="2" t="s">
        <v>23</v>
      </c>
      <c r="C37" s="2"/>
      <c r="D37" s="2"/>
      <c r="E37" s="2"/>
      <c r="F37" s="2"/>
      <c r="G37" s="2"/>
      <c r="H37" s="2"/>
      <c r="I37" s="37" t="s">
        <v>24</v>
      </c>
      <c r="J37" s="37"/>
    </row>
    <row r="38" spans="2:10" ht="16.5" x14ac:dyDescent="0.45">
      <c r="B38" s="1"/>
      <c r="C38" s="2"/>
      <c r="D38" s="2"/>
      <c r="E38" s="2"/>
      <c r="F38" s="2"/>
      <c r="G38" s="2"/>
      <c r="H38" s="2"/>
      <c r="I38" s="1"/>
      <c r="J38" s="2"/>
    </row>
    <row r="39" spans="2:10" ht="16.5" x14ac:dyDescent="0.45">
      <c r="B39" s="53" t="s">
        <v>25</v>
      </c>
      <c r="C39" s="53"/>
      <c r="D39" s="53"/>
      <c r="E39" s="53"/>
      <c r="F39" s="53"/>
      <c r="G39" s="53"/>
      <c r="H39" s="53"/>
      <c r="I39" s="53"/>
      <c r="J39" s="53"/>
    </row>
    <row r="40" spans="2:10" ht="16.5" x14ac:dyDescent="0.45">
      <c r="B40" s="53" t="s">
        <v>84</v>
      </c>
      <c r="C40" s="53"/>
      <c r="D40" s="53"/>
      <c r="E40" s="53"/>
      <c r="F40" s="53"/>
      <c r="G40" s="53"/>
      <c r="H40" s="53"/>
      <c r="I40" s="53"/>
      <c r="J40" s="53"/>
    </row>
    <row r="41" spans="2:10" ht="16.5" x14ac:dyDescent="0.45">
      <c r="B41" s="53" t="s">
        <v>83</v>
      </c>
      <c r="C41" s="53"/>
      <c r="D41" s="53"/>
      <c r="E41" s="53"/>
      <c r="F41" s="53"/>
      <c r="G41" s="53"/>
      <c r="H41" s="53"/>
      <c r="I41" s="53"/>
      <c r="J41" s="53"/>
    </row>
    <row r="42" spans="2:10" ht="16.5" x14ac:dyDescent="0.45">
      <c r="B42" s="38"/>
      <c r="C42" s="38"/>
      <c r="D42" s="38"/>
      <c r="E42" s="38"/>
      <c r="F42" s="38"/>
      <c r="G42" s="38"/>
      <c r="H42" s="38"/>
      <c r="I42" s="38"/>
      <c r="J42" s="38"/>
    </row>
    <row r="43" spans="2:10" ht="16.5" x14ac:dyDescent="0.45">
      <c r="B43" s="1"/>
      <c r="C43" s="2"/>
      <c r="D43" s="2"/>
      <c r="E43" s="2"/>
      <c r="F43" s="2"/>
      <c r="G43" s="2"/>
      <c r="H43" s="2"/>
      <c r="I43" s="1"/>
      <c r="J43" s="2"/>
    </row>
    <row r="44" spans="2:10" ht="16.5" x14ac:dyDescent="0.45">
      <c r="B44" s="1"/>
      <c r="C44" s="2"/>
      <c r="D44" s="2"/>
      <c r="E44" s="2"/>
      <c r="F44" s="2"/>
      <c r="G44" s="2"/>
      <c r="H44" s="2"/>
      <c r="I44" s="1"/>
      <c r="J44" s="2"/>
    </row>
    <row r="45" spans="2:10" ht="16.5" x14ac:dyDescent="0.45">
      <c r="B45" s="1"/>
      <c r="C45" s="2"/>
      <c r="D45" s="2"/>
      <c r="E45" s="2"/>
      <c r="F45" s="2"/>
      <c r="G45" s="2"/>
      <c r="H45" s="2"/>
      <c r="I45" s="1"/>
      <c r="J45" s="2"/>
    </row>
    <row r="46" spans="2:10" ht="16" x14ac:dyDescent="0.45">
      <c r="B46" s="39" t="s">
        <v>26</v>
      </c>
      <c r="C46" s="39"/>
      <c r="D46" s="39"/>
      <c r="E46" s="39" t="s">
        <v>85</v>
      </c>
      <c r="F46" s="39"/>
      <c r="G46" s="5" t="s">
        <v>27</v>
      </c>
      <c r="H46" s="6"/>
      <c r="I46" s="54" t="s">
        <v>86</v>
      </c>
      <c r="J46" s="54"/>
    </row>
    <row r="47" spans="2:10" x14ac:dyDescent="0.35">
      <c r="I47" s="7"/>
    </row>
    <row r="48" spans="2:10" x14ac:dyDescent="0.35">
      <c r="I48" s="7"/>
    </row>
  </sheetData>
  <mergeCells count="32">
    <mergeCell ref="C16:G16"/>
    <mergeCell ref="C9:G9"/>
    <mergeCell ref="C10:G10"/>
    <mergeCell ref="B2:J2"/>
    <mergeCell ref="B3:J3"/>
    <mergeCell ref="B5:J5"/>
    <mergeCell ref="B6:J6"/>
    <mergeCell ref="C11:G11"/>
    <mergeCell ref="C12:G12"/>
    <mergeCell ref="C13:G13"/>
    <mergeCell ref="C14:G14"/>
    <mergeCell ref="C15:G15"/>
    <mergeCell ref="C8:G8"/>
    <mergeCell ref="C32:E32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B28:J28"/>
    <mergeCell ref="B34:J34"/>
    <mergeCell ref="B35:J35"/>
    <mergeCell ref="I37:J37"/>
    <mergeCell ref="B42:J42"/>
    <mergeCell ref="I46:J46"/>
    <mergeCell ref="B46:D46"/>
    <mergeCell ref="E46:F46"/>
  </mergeCells>
  <pageMargins left="1" right="1" top="1" bottom="1" header="0.5" footer="0.5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E70E-1476-4274-98D4-EC4F86AE7158}">
  <dimension ref="A1:J34"/>
  <sheetViews>
    <sheetView topLeftCell="A26" zoomScaleNormal="100" workbookViewId="0">
      <selection activeCell="A3" sqref="A3:F3"/>
    </sheetView>
  </sheetViews>
  <sheetFormatPr defaultRowHeight="14.5" x14ac:dyDescent="0.35"/>
  <cols>
    <col min="3" max="3" width="28.7265625" customWidth="1"/>
    <col min="4" max="4" width="14.1796875" customWidth="1"/>
    <col min="5" max="5" width="10.36328125" bestFit="1" customWidth="1"/>
    <col min="6" max="6" width="10.7265625" customWidth="1"/>
    <col min="9" max="9" width="12.90625" bestFit="1" customWidth="1"/>
  </cols>
  <sheetData>
    <row r="1" spans="1:10" ht="19.5" x14ac:dyDescent="0.55000000000000004">
      <c r="A1" s="47" t="s">
        <v>30</v>
      </c>
      <c r="B1" s="47"/>
      <c r="C1" s="47"/>
      <c r="D1" s="47"/>
      <c r="E1" s="47"/>
      <c r="F1" s="47"/>
    </row>
    <row r="2" spans="1:10" ht="16.5" x14ac:dyDescent="0.45">
      <c r="A2" s="48" t="s">
        <v>31</v>
      </c>
      <c r="B2" s="48"/>
      <c r="C2" s="48"/>
      <c r="D2" s="48"/>
      <c r="E2" s="48"/>
      <c r="F2" s="48"/>
    </row>
    <row r="3" spans="1:10" ht="19" x14ac:dyDescent="0.5">
      <c r="A3" s="49" t="s">
        <v>32</v>
      </c>
      <c r="B3" s="49"/>
      <c r="C3" s="49"/>
      <c r="D3" s="49"/>
      <c r="E3" s="49"/>
      <c r="F3" s="49"/>
    </row>
    <row r="4" spans="1:10" ht="16.5" x14ac:dyDescent="0.35">
      <c r="A4" s="11" t="s">
        <v>33</v>
      </c>
      <c r="B4" s="12"/>
      <c r="C4" s="13"/>
      <c r="D4" s="14"/>
      <c r="E4" s="14"/>
      <c r="F4" s="11"/>
    </row>
    <row r="5" spans="1:10" ht="16.5" x14ac:dyDescent="0.35">
      <c r="A5" s="11" t="s">
        <v>34</v>
      </c>
      <c r="B5" s="11"/>
      <c r="C5" s="15" t="s">
        <v>72</v>
      </c>
      <c r="D5" s="14"/>
      <c r="E5" s="14"/>
      <c r="F5" s="11"/>
    </row>
    <row r="6" spans="1:10" ht="16.5" x14ac:dyDescent="0.35">
      <c r="A6" s="11" t="s">
        <v>35</v>
      </c>
      <c r="B6" s="12"/>
      <c r="C6" s="13" t="s">
        <v>73</v>
      </c>
      <c r="D6" s="14"/>
      <c r="E6" s="14"/>
      <c r="F6" s="11"/>
    </row>
    <row r="7" spans="1:10" ht="16.5" x14ac:dyDescent="0.35">
      <c r="A7" s="50" t="s">
        <v>37</v>
      </c>
      <c r="B7" s="51" t="s">
        <v>38</v>
      </c>
      <c r="C7" s="51" t="s">
        <v>39</v>
      </c>
      <c r="D7" s="50" t="s">
        <v>11</v>
      </c>
      <c r="E7" s="50"/>
      <c r="F7" s="50" t="s">
        <v>40</v>
      </c>
    </row>
    <row r="8" spans="1:10" ht="16.5" x14ac:dyDescent="0.35">
      <c r="A8" s="50"/>
      <c r="B8" s="51"/>
      <c r="C8" s="51"/>
      <c r="D8" s="16" t="s">
        <v>41</v>
      </c>
      <c r="E8" s="16" t="s">
        <v>42</v>
      </c>
      <c r="F8" s="50"/>
    </row>
    <row r="9" spans="1:10" ht="16.5" x14ac:dyDescent="0.45">
      <c r="A9" s="44" t="s">
        <v>43</v>
      </c>
      <c r="B9" s="44"/>
      <c r="C9" s="44"/>
      <c r="D9" s="44"/>
      <c r="E9" s="44"/>
      <c r="F9" s="44"/>
    </row>
    <row r="10" spans="1:10" ht="16.5" x14ac:dyDescent="0.35">
      <c r="A10" s="17">
        <v>1</v>
      </c>
      <c r="B10" s="18"/>
      <c r="C10" s="18" t="s">
        <v>44</v>
      </c>
      <c r="D10" s="19">
        <f>'Pay Fixation'!J26</f>
        <v>33290</v>
      </c>
      <c r="E10" s="19">
        <f>D10</f>
        <v>33290</v>
      </c>
      <c r="F10" s="20"/>
      <c r="J10" s="27"/>
    </row>
    <row r="11" spans="1:10" ht="16.5" x14ac:dyDescent="0.35">
      <c r="A11" s="17">
        <v>2</v>
      </c>
      <c r="B11" s="18"/>
      <c r="C11" s="18" t="s">
        <v>45</v>
      </c>
      <c r="D11" s="21"/>
      <c r="E11" s="19">
        <f>'Pay Fixation'!J15</f>
        <v>23680</v>
      </c>
      <c r="F11" s="20"/>
      <c r="I11" s="28"/>
      <c r="J11" s="27"/>
    </row>
    <row r="12" spans="1:10" ht="16.5" x14ac:dyDescent="0.35">
      <c r="A12" s="17">
        <v>3</v>
      </c>
      <c r="B12" s="18"/>
      <c r="C12" s="18" t="s">
        <v>46</v>
      </c>
      <c r="D12" s="21"/>
      <c r="E12" s="19">
        <v>1500</v>
      </c>
      <c r="F12" s="20"/>
    </row>
    <row r="13" spans="1:10" ht="16.5" x14ac:dyDescent="0.35">
      <c r="A13" s="17">
        <v>5</v>
      </c>
      <c r="B13" s="18"/>
      <c r="C13" s="18" t="s">
        <v>47</v>
      </c>
      <c r="D13" s="23" t="s">
        <v>48</v>
      </c>
      <c r="E13" s="21"/>
      <c r="F13" s="20"/>
    </row>
    <row r="14" spans="1:10" ht="16.5" x14ac:dyDescent="0.35">
      <c r="A14" s="17">
        <v>6</v>
      </c>
      <c r="B14" s="18"/>
      <c r="C14" s="18" t="s">
        <v>49</v>
      </c>
      <c r="D14" s="23" t="s">
        <v>48</v>
      </c>
      <c r="E14" s="21"/>
      <c r="F14" s="20"/>
    </row>
    <row r="15" spans="1:10" ht="16.5" x14ac:dyDescent="0.35">
      <c r="A15" s="17">
        <v>7</v>
      </c>
      <c r="B15" s="18"/>
      <c r="C15" s="18" t="s">
        <v>50</v>
      </c>
      <c r="D15" s="23" t="s">
        <v>48</v>
      </c>
      <c r="E15" s="21">
        <v>500</v>
      </c>
      <c r="F15" s="20"/>
    </row>
    <row r="16" spans="1:10" ht="16.5" x14ac:dyDescent="0.35">
      <c r="A16" s="17">
        <v>8</v>
      </c>
      <c r="B16" s="18"/>
      <c r="C16" s="18" t="s">
        <v>75</v>
      </c>
      <c r="D16" s="23" t="s">
        <v>48</v>
      </c>
      <c r="E16" s="21">
        <v>0</v>
      </c>
      <c r="F16" s="20"/>
    </row>
    <row r="17" spans="1:6" ht="18" x14ac:dyDescent="0.35">
      <c r="A17" s="17"/>
      <c r="B17" s="24"/>
      <c r="C17" s="24" t="s">
        <v>51</v>
      </c>
      <c r="D17" s="23"/>
      <c r="E17" s="25">
        <f>SUM(E10:E16)</f>
        <v>58970</v>
      </c>
      <c r="F17" s="17"/>
    </row>
    <row r="18" spans="1:6" ht="16.5" x14ac:dyDescent="0.45">
      <c r="A18" s="45" t="s">
        <v>52</v>
      </c>
      <c r="B18" s="45"/>
      <c r="C18" s="45"/>
      <c r="D18" s="45"/>
      <c r="E18" s="45"/>
      <c r="F18" s="45"/>
    </row>
    <row r="19" spans="1:6" ht="16.5" x14ac:dyDescent="0.35">
      <c r="A19" s="17">
        <v>1</v>
      </c>
      <c r="B19" s="18"/>
      <c r="C19" s="18" t="s">
        <v>53</v>
      </c>
      <c r="D19" s="19">
        <f>D10</f>
        <v>33290</v>
      </c>
      <c r="E19" s="23">
        <f>D19*0.1</f>
        <v>3329</v>
      </c>
      <c r="F19" s="20"/>
    </row>
    <row r="20" spans="1:6" ht="16.5" x14ac:dyDescent="0.35">
      <c r="A20" s="17">
        <v>2</v>
      </c>
      <c r="B20" s="18"/>
      <c r="C20" s="18" t="s">
        <v>54</v>
      </c>
      <c r="D20" s="23" t="s">
        <v>48</v>
      </c>
      <c r="E20" s="19">
        <v>150</v>
      </c>
      <c r="F20" s="20"/>
    </row>
    <row r="21" spans="1:6" ht="16.5" x14ac:dyDescent="0.35">
      <c r="A21" s="17">
        <v>3</v>
      </c>
      <c r="B21" s="18"/>
      <c r="C21" s="18" t="s">
        <v>55</v>
      </c>
      <c r="D21" s="23" t="s">
        <v>48</v>
      </c>
      <c r="E21" s="19">
        <v>100</v>
      </c>
      <c r="F21" s="20"/>
    </row>
    <row r="22" spans="1:6" ht="16.5" x14ac:dyDescent="0.35">
      <c r="A22" s="17">
        <v>4</v>
      </c>
      <c r="B22" s="18"/>
      <c r="C22" s="18" t="s">
        <v>56</v>
      </c>
      <c r="D22" s="23" t="s">
        <v>48</v>
      </c>
      <c r="E22" s="21"/>
      <c r="F22" s="20"/>
    </row>
    <row r="23" spans="1:6" ht="16.5" x14ac:dyDescent="0.35">
      <c r="A23" s="17">
        <v>5</v>
      </c>
      <c r="B23" s="18"/>
      <c r="C23" s="18" t="s">
        <v>57</v>
      </c>
      <c r="D23" s="23" t="s">
        <v>48</v>
      </c>
      <c r="E23" s="21"/>
      <c r="F23" s="20"/>
    </row>
    <row r="24" spans="1:6" ht="16.5" x14ac:dyDescent="0.35">
      <c r="A24" s="17">
        <v>6</v>
      </c>
      <c r="B24" s="18"/>
      <c r="C24" s="18" t="s">
        <v>58</v>
      </c>
      <c r="D24" s="23" t="s">
        <v>48</v>
      </c>
      <c r="E24" s="21"/>
      <c r="F24" s="20"/>
    </row>
    <row r="25" spans="1:6" ht="16.5" x14ac:dyDescent="0.35">
      <c r="A25" s="17">
        <v>7</v>
      </c>
      <c r="B25" s="18"/>
      <c r="C25" s="18" t="s">
        <v>59</v>
      </c>
      <c r="D25" s="23" t="s">
        <v>48</v>
      </c>
      <c r="E25" s="21"/>
      <c r="F25" s="20"/>
    </row>
    <row r="26" spans="1:6" ht="16.5" x14ac:dyDescent="0.35">
      <c r="A26" s="17">
        <v>8</v>
      </c>
      <c r="B26" s="18"/>
      <c r="C26" s="18" t="s">
        <v>60</v>
      </c>
      <c r="D26" s="23" t="s">
        <v>48</v>
      </c>
      <c r="E26" s="21"/>
      <c r="F26" s="20"/>
    </row>
    <row r="27" spans="1:6" ht="33" x14ac:dyDescent="0.35">
      <c r="A27" s="17">
        <v>9</v>
      </c>
      <c r="B27" s="18"/>
      <c r="C27" s="18" t="s">
        <v>61</v>
      </c>
      <c r="D27" s="23" t="s">
        <v>48</v>
      </c>
      <c r="E27" s="21"/>
      <c r="F27" s="20"/>
    </row>
    <row r="28" spans="1:6" ht="16.5" x14ac:dyDescent="0.35">
      <c r="A28" s="17">
        <v>10</v>
      </c>
      <c r="B28" s="18"/>
      <c r="C28" s="18" t="s">
        <v>76</v>
      </c>
      <c r="D28" s="23" t="s">
        <v>48</v>
      </c>
      <c r="E28" s="21"/>
      <c r="F28" s="20"/>
    </row>
    <row r="29" spans="1:6" ht="16.5" x14ac:dyDescent="0.35">
      <c r="A29" s="17">
        <v>11</v>
      </c>
      <c r="B29" s="18"/>
      <c r="C29" s="22" t="s">
        <v>63</v>
      </c>
      <c r="D29" s="23"/>
      <c r="E29" s="21">
        <v>10</v>
      </c>
      <c r="F29" s="20"/>
    </row>
    <row r="30" spans="1:6" ht="16.5" x14ac:dyDescent="0.35">
      <c r="A30" s="17">
        <v>12</v>
      </c>
      <c r="B30" s="18"/>
      <c r="C30" s="18" t="s">
        <v>64</v>
      </c>
      <c r="D30" s="23" t="s">
        <v>48</v>
      </c>
      <c r="E30" s="19">
        <v>0</v>
      </c>
      <c r="F30" s="20"/>
    </row>
    <row r="31" spans="1:6" ht="16.5" x14ac:dyDescent="0.35">
      <c r="A31" s="17">
        <v>13</v>
      </c>
      <c r="B31" s="18"/>
      <c r="C31" s="18" t="s">
        <v>65</v>
      </c>
      <c r="D31" s="23" t="s">
        <v>48</v>
      </c>
      <c r="E31" s="21"/>
      <c r="F31" s="20"/>
    </row>
    <row r="32" spans="1:6" ht="18" x14ac:dyDescent="0.35">
      <c r="A32" s="17"/>
      <c r="B32" s="18"/>
      <c r="C32" s="18" t="s">
        <v>66</v>
      </c>
      <c r="D32" s="21"/>
      <c r="E32" s="26">
        <f>SUM(E19:E31)</f>
        <v>3589</v>
      </c>
      <c r="F32" s="20"/>
    </row>
    <row r="33" spans="1:6" ht="18" x14ac:dyDescent="0.35">
      <c r="A33" s="17"/>
      <c r="B33" s="24"/>
      <c r="C33" s="24" t="s">
        <v>67</v>
      </c>
      <c r="D33" s="23"/>
      <c r="E33" s="25">
        <f>E17-E32</f>
        <v>55381</v>
      </c>
      <c r="F33" s="17"/>
    </row>
    <row r="34" spans="1:6" ht="16.5" x14ac:dyDescent="0.35">
      <c r="A34" s="46" t="s">
        <v>77</v>
      </c>
      <c r="B34" s="46"/>
      <c r="C34" s="46"/>
      <c r="D34" s="46"/>
      <c r="E34" s="46"/>
      <c r="F34" s="46"/>
    </row>
  </sheetData>
  <mergeCells count="11">
    <mergeCell ref="A9:F9"/>
    <mergeCell ref="A18:F18"/>
    <mergeCell ref="A34:F34"/>
    <mergeCell ref="A1:F1"/>
    <mergeCell ref="A2:F2"/>
    <mergeCell ref="A3:F3"/>
    <mergeCell ref="A7:A8"/>
    <mergeCell ref="B7:B8"/>
    <mergeCell ref="C7:C8"/>
    <mergeCell ref="D7:E7"/>
    <mergeCell ref="F7:F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BAC6-0B2B-4912-AA98-F8F319BFC883}">
  <dimension ref="A1:J32"/>
  <sheetViews>
    <sheetView topLeftCell="A3" workbookViewId="0">
      <selection activeCell="C10" sqref="C10"/>
    </sheetView>
  </sheetViews>
  <sheetFormatPr defaultRowHeight="14.5" x14ac:dyDescent="0.35"/>
  <cols>
    <col min="3" max="3" width="28.7265625" customWidth="1"/>
    <col min="4" max="4" width="14.1796875" customWidth="1"/>
    <col min="5" max="5" width="10.81640625" bestFit="1" customWidth="1"/>
    <col min="6" max="6" width="10.7265625" customWidth="1"/>
    <col min="9" max="9" width="12.90625" bestFit="1" customWidth="1"/>
  </cols>
  <sheetData>
    <row r="1" spans="1:10" ht="19.5" x14ac:dyDescent="0.55000000000000004">
      <c r="A1" s="47" t="s">
        <v>30</v>
      </c>
      <c r="B1" s="47"/>
      <c r="C1" s="47"/>
      <c r="D1" s="47"/>
      <c r="E1" s="47"/>
      <c r="F1" s="47"/>
    </row>
    <row r="2" spans="1:10" ht="16.5" x14ac:dyDescent="0.45">
      <c r="A2" s="48" t="s">
        <v>31</v>
      </c>
      <c r="B2" s="48"/>
      <c r="C2" s="48"/>
      <c r="D2" s="48"/>
      <c r="E2" s="48"/>
      <c r="F2" s="48"/>
    </row>
    <row r="3" spans="1:10" ht="19" x14ac:dyDescent="0.5">
      <c r="A3" s="49" t="s">
        <v>78</v>
      </c>
      <c r="B3" s="49"/>
      <c r="C3" s="49"/>
      <c r="D3" s="49"/>
      <c r="E3" s="49"/>
      <c r="F3" s="49"/>
    </row>
    <row r="4" spans="1:10" ht="16.5" x14ac:dyDescent="0.35">
      <c r="A4" s="11" t="s">
        <v>33</v>
      </c>
      <c r="B4" s="12"/>
      <c r="C4" s="13"/>
      <c r="D4" s="14"/>
      <c r="E4" s="14"/>
      <c r="F4" s="11"/>
    </row>
    <row r="5" spans="1:10" ht="16.5" x14ac:dyDescent="0.35">
      <c r="A5" s="11" t="s">
        <v>34</v>
      </c>
      <c r="B5" s="11"/>
      <c r="C5" s="15" t="s">
        <v>72</v>
      </c>
      <c r="D5" s="14"/>
      <c r="E5" s="14"/>
      <c r="F5" s="11"/>
    </row>
    <row r="6" spans="1:10" ht="16.5" x14ac:dyDescent="0.35">
      <c r="A6" s="11" t="s">
        <v>35</v>
      </c>
      <c r="B6" s="12"/>
      <c r="C6" s="13" t="s">
        <v>36</v>
      </c>
      <c r="D6" s="14"/>
      <c r="E6" s="14"/>
      <c r="F6" s="11"/>
    </row>
    <row r="7" spans="1:10" ht="16.5" x14ac:dyDescent="0.35">
      <c r="A7" s="50" t="s">
        <v>37</v>
      </c>
      <c r="B7" s="51" t="s">
        <v>38</v>
      </c>
      <c r="C7" s="51" t="s">
        <v>39</v>
      </c>
      <c r="D7" s="50" t="s">
        <v>11</v>
      </c>
      <c r="E7" s="50"/>
      <c r="F7" s="50" t="s">
        <v>40</v>
      </c>
    </row>
    <row r="8" spans="1:10" ht="16.5" x14ac:dyDescent="0.35">
      <c r="A8" s="50"/>
      <c r="B8" s="51"/>
      <c r="C8" s="51"/>
      <c r="D8" s="16" t="s">
        <v>41</v>
      </c>
      <c r="E8" s="16" t="s">
        <v>42</v>
      </c>
      <c r="F8" s="50"/>
    </row>
    <row r="9" spans="1:10" ht="16.5" x14ac:dyDescent="0.45">
      <c r="A9" s="44" t="s">
        <v>43</v>
      </c>
      <c r="B9" s="44"/>
      <c r="C9" s="44"/>
      <c r="D9" s="44"/>
      <c r="E9" s="44"/>
      <c r="F9" s="44"/>
    </row>
    <row r="10" spans="1:10" ht="33" x14ac:dyDescent="0.35">
      <c r="A10" s="17">
        <v>1</v>
      </c>
      <c r="B10" s="18"/>
      <c r="C10" s="22" t="s">
        <v>71</v>
      </c>
      <c r="D10" s="19">
        <f>33290-24870</f>
        <v>8420</v>
      </c>
      <c r="E10" s="19">
        <f>D10*2</f>
        <v>16840</v>
      </c>
      <c r="F10" s="20"/>
      <c r="J10" s="27"/>
    </row>
    <row r="11" spans="1:10" ht="16.5" x14ac:dyDescent="0.35">
      <c r="A11" s="17">
        <v>3</v>
      </c>
      <c r="B11" s="18"/>
      <c r="C11" s="18" t="s">
        <v>46</v>
      </c>
      <c r="D11" s="21">
        <v>0</v>
      </c>
      <c r="E11" s="19">
        <v>0</v>
      </c>
      <c r="F11" s="20"/>
    </row>
    <row r="12" spans="1:10" ht="16.5" x14ac:dyDescent="0.35">
      <c r="A12" s="17">
        <v>5</v>
      </c>
      <c r="B12" s="18"/>
      <c r="C12" s="18" t="s">
        <v>47</v>
      </c>
      <c r="D12" s="33" t="s">
        <v>48</v>
      </c>
      <c r="E12" s="21"/>
      <c r="F12" s="20"/>
    </row>
    <row r="13" spans="1:10" ht="16.5" x14ac:dyDescent="0.35">
      <c r="A13" s="17">
        <v>6</v>
      </c>
      <c r="B13" s="18"/>
      <c r="C13" s="18" t="s">
        <v>49</v>
      </c>
      <c r="D13" s="33" t="s">
        <v>48</v>
      </c>
      <c r="E13" s="21"/>
      <c r="F13" s="20"/>
    </row>
    <row r="14" spans="1:10" ht="16.5" x14ac:dyDescent="0.35">
      <c r="A14" s="17">
        <v>7</v>
      </c>
      <c r="B14" s="18"/>
      <c r="C14" s="18" t="s">
        <v>50</v>
      </c>
      <c r="D14" s="33" t="s">
        <v>48</v>
      </c>
      <c r="E14" s="21"/>
      <c r="F14" s="20"/>
    </row>
    <row r="15" spans="1:10" ht="16.5" x14ac:dyDescent="0.35">
      <c r="A15" s="17">
        <v>8</v>
      </c>
      <c r="B15" s="18"/>
      <c r="C15" s="18" t="s">
        <v>68</v>
      </c>
      <c r="D15" s="33">
        <v>0</v>
      </c>
      <c r="E15" s="21">
        <f>D15*2</f>
        <v>0</v>
      </c>
      <c r="F15" s="20"/>
    </row>
    <row r="16" spans="1:10" ht="18" x14ac:dyDescent="0.35">
      <c r="A16" s="17"/>
      <c r="B16" s="24"/>
      <c r="C16" s="24" t="s">
        <v>51</v>
      </c>
      <c r="D16" s="25">
        <f>D10</f>
        <v>8420</v>
      </c>
      <c r="E16" s="25">
        <f>SUM(E10:E15)</f>
        <v>16840</v>
      </c>
      <c r="F16" s="17"/>
    </row>
    <row r="17" spans="1:6" ht="16.5" x14ac:dyDescent="0.45">
      <c r="A17" s="45" t="s">
        <v>52</v>
      </c>
      <c r="B17" s="45"/>
      <c r="C17" s="45"/>
      <c r="D17" s="45"/>
      <c r="E17" s="45"/>
      <c r="F17" s="45"/>
    </row>
    <row r="18" spans="1:6" ht="33" x14ac:dyDescent="0.35">
      <c r="A18" s="17">
        <v>1</v>
      </c>
      <c r="B18" s="18"/>
      <c r="C18" s="18" t="s">
        <v>80</v>
      </c>
      <c r="D18" s="23">
        <f>(33290-24870)*0.1</f>
        <v>842</v>
      </c>
      <c r="E18" s="23">
        <f>D18*2</f>
        <v>1684</v>
      </c>
      <c r="F18" s="20"/>
    </row>
    <row r="19" spans="1:6" ht="21" customHeight="1" x14ac:dyDescent="0.35">
      <c r="A19" s="17">
        <v>2</v>
      </c>
      <c r="B19" s="18"/>
      <c r="C19" s="18" t="s">
        <v>79</v>
      </c>
      <c r="D19" s="19">
        <f>24870-23680</f>
        <v>1190</v>
      </c>
      <c r="E19" s="19">
        <f>D19*2</f>
        <v>2380</v>
      </c>
      <c r="F19" s="20"/>
    </row>
    <row r="20" spans="1:6" ht="16.5" x14ac:dyDescent="0.35">
      <c r="A20" s="17">
        <v>3</v>
      </c>
      <c r="B20" s="18"/>
      <c r="C20" s="18" t="s">
        <v>55</v>
      </c>
      <c r="D20" s="23" t="s">
        <v>48</v>
      </c>
      <c r="E20" s="19">
        <v>0</v>
      </c>
      <c r="F20" s="20"/>
    </row>
    <row r="21" spans="1:6" ht="16.5" x14ac:dyDescent="0.35">
      <c r="A21" s="17">
        <v>4</v>
      </c>
      <c r="B21" s="18"/>
      <c r="C21" s="18" t="s">
        <v>56</v>
      </c>
      <c r="D21" s="23" t="s">
        <v>48</v>
      </c>
      <c r="E21" s="21"/>
      <c r="F21" s="20"/>
    </row>
    <row r="22" spans="1:6" ht="16.5" x14ac:dyDescent="0.35">
      <c r="A22" s="17">
        <v>8</v>
      </c>
      <c r="B22" s="18"/>
      <c r="C22" s="22" t="s">
        <v>81</v>
      </c>
      <c r="D22" s="23">
        <f>24870*15%</f>
        <v>3730.5</v>
      </c>
      <c r="E22" s="21">
        <f>D22*2</f>
        <v>7461</v>
      </c>
      <c r="F22" s="20"/>
    </row>
    <row r="23" spans="1:6" ht="16.5" x14ac:dyDescent="0.35">
      <c r="A23" s="17">
        <v>7</v>
      </c>
      <c r="B23" s="18"/>
      <c r="C23" s="18" t="s">
        <v>59</v>
      </c>
      <c r="D23" s="23" t="s">
        <v>48</v>
      </c>
      <c r="E23" s="21"/>
      <c r="F23" s="20"/>
    </row>
    <row r="24" spans="1:6" ht="16.5" x14ac:dyDescent="0.35">
      <c r="A24" s="17">
        <v>8</v>
      </c>
      <c r="B24" s="18"/>
      <c r="C24" s="18" t="s">
        <v>60</v>
      </c>
      <c r="D24" s="23" t="s">
        <v>48</v>
      </c>
      <c r="E24" s="21"/>
      <c r="F24" s="20"/>
    </row>
    <row r="25" spans="1:6" ht="33" x14ac:dyDescent="0.35">
      <c r="A25" s="17">
        <v>9</v>
      </c>
      <c r="B25" s="18"/>
      <c r="C25" s="18" t="s">
        <v>61</v>
      </c>
      <c r="D25" s="23" t="s">
        <v>48</v>
      </c>
      <c r="E25" s="21"/>
      <c r="F25" s="20"/>
    </row>
    <row r="26" spans="1:6" ht="33" x14ac:dyDescent="0.35">
      <c r="A26" s="17">
        <v>10</v>
      </c>
      <c r="B26" s="18"/>
      <c r="C26" s="18" t="s">
        <v>62</v>
      </c>
      <c r="D26" s="23" t="s">
        <v>48</v>
      </c>
      <c r="E26" s="21"/>
      <c r="F26" s="20"/>
    </row>
    <row r="27" spans="1:6" ht="16.5" x14ac:dyDescent="0.35">
      <c r="A27" s="17">
        <v>11</v>
      </c>
      <c r="B27" s="18"/>
      <c r="C27" s="22" t="s">
        <v>63</v>
      </c>
      <c r="D27" s="23"/>
      <c r="E27" s="21">
        <v>10</v>
      </c>
      <c r="F27" s="20"/>
    </row>
    <row r="28" spans="1:6" ht="16.5" x14ac:dyDescent="0.35">
      <c r="A28" s="17">
        <v>12</v>
      </c>
      <c r="B28" s="18"/>
      <c r="C28" s="18" t="s">
        <v>64</v>
      </c>
      <c r="D28" s="23" t="s">
        <v>48</v>
      </c>
      <c r="E28" s="19">
        <v>0</v>
      </c>
      <c r="F28" s="20"/>
    </row>
    <row r="29" spans="1:6" ht="16.5" x14ac:dyDescent="0.35">
      <c r="A29" s="17">
        <v>13</v>
      </c>
      <c r="B29" s="18"/>
      <c r="C29" s="18" t="s">
        <v>65</v>
      </c>
      <c r="D29" s="23" t="s">
        <v>48</v>
      </c>
      <c r="E29" s="21"/>
      <c r="F29" s="20"/>
    </row>
    <row r="30" spans="1:6" ht="18" x14ac:dyDescent="0.35">
      <c r="A30" s="17"/>
      <c r="B30" s="18"/>
      <c r="C30" s="18" t="s">
        <v>66</v>
      </c>
      <c r="D30" s="21"/>
      <c r="E30" s="26">
        <f>SUM(E18:E29)</f>
        <v>11535</v>
      </c>
      <c r="F30" s="20"/>
    </row>
    <row r="31" spans="1:6" ht="18" x14ac:dyDescent="0.35">
      <c r="A31" s="17"/>
      <c r="B31" s="24"/>
      <c r="C31" s="24" t="s">
        <v>67</v>
      </c>
      <c r="D31" s="23"/>
      <c r="E31" s="25">
        <f>E16-E30</f>
        <v>5305</v>
      </c>
      <c r="F31" s="17"/>
    </row>
    <row r="32" spans="1:6" ht="16.5" x14ac:dyDescent="0.35">
      <c r="A32" s="46" t="s">
        <v>88</v>
      </c>
      <c r="B32" s="46"/>
      <c r="C32" s="46"/>
      <c r="D32" s="46"/>
      <c r="E32" s="46"/>
      <c r="F32" s="46"/>
    </row>
  </sheetData>
  <mergeCells count="11">
    <mergeCell ref="A9:F9"/>
    <mergeCell ref="A17:F17"/>
    <mergeCell ref="A32:F32"/>
    <mergeCell ref="A1:F1"/>
    <mergeCell ref="A2:F2"/>
    <mergeCell ref="A3:F3"/>
    <mergeCell ref="A7:A8"/>
    <mergeCell ref="B7:B8"/>
    <mergeCell ref="C7:C8"/>
    <mergeCell ref="D7:E7"/>
    <mergeCell ref="F7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Pay Fixation</vt:lpstr>
      <vt:lpstr>Sept salary</vt:lpstr>
      <vt:lpstr>Arrear+Adjust</vt:lpstr>
      <vt:lpstr>'Pay Fixation'!Print_Area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2026-09-22T06:57:31Z</dcterms:modified>
</cp:coreProperties>
</file>